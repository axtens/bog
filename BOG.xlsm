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30" windowWidth="20940" windowHeight="9855"/>
  </bookViews>
  <sheets>
    <sheet name="Sheet1" sheetId="1" r:id="rId1"/>
    <sheet name="Sheet2" sheetId="2" r:id="rId2"/>
    <sheet name="Sheet3" sheetId="3" r:id="rId3"/>
  </sheets>
  <functionGroups/>
  <definedNames>
    <definedName name="biconnected_graph" localSheetId="0">Sheet1!$B$68</definedName>
    <definedName name="biconnectivity_clear_cache" localSheetId="0">Sheet1!$B$70</definedName>
    <definedName name="complement_graph" localSheetId="0">Sheet1!$B$10</definedName>
    <definedName name="complete_graph" localSheetId="0">Sheet1!$B$9</definedName>
    <definedName name="connectivity_clear_cache" localSheetId="0">Sheet1!$B$58</definedName>
    <definedName name="db" localSheetId="0">Sheet1!$C$16</definedName>
    <definedName name="debug" localSheetId="0">Sheet1!$C$4</definedName>
    <definedName name="error" localSheetId="0">Sheet1!$C$32</definedName>
    <definedName name="host" localSheetId="0">Sheet1!$C$8</definedName>
    <definedName name="method" localSheetId="0">Sheet1!$C$28</definedName>
    <definedName name="new" localSheetId="0">Sheet1!$C$2</definedName>
    <definedName name="pass" localSheetId="0">Sheet1!$C$24</definedName>
    <definedName name="port" localSheetId="0">Sheet1!$C$12</definedName>
    <definedName name="purge_limit" localSheetId="0">Sheet1!$C$38</definedName>
    <definedName name="same_strongly_connected_components" localSheetId="0">Sheet1!$B$74</definedName>
    <definedName name="strong_connectivity_clear_cache" localSheetId="0">Sheet1!$B$75</definedName>
    <definedName name="strongly_connected_component_by_vertex" localSheetId="0">Sheet1!$B$72</definedName>
    <definedName name="transitiveclosure_floyd_warshall" localSheetId="0">Sheet1!$B$36</definedName>
    <definedName name="transpose_graph" localSheetId="0">Sheet1!$B$7</definedName>
    <definedName name="user" localSheetId="0">Sheet1!$C$20</definedName>
  </definedNames>
  <calcPr calcId="125725"/>
</workbook>
</file>

<file path=xl/calcChain.xml><?xml version="1.0" encoding="utf-8"?>
<calcChain xmlns="http://schemas.openxmlformats.org/spreadsheetml/2006/main">
  <c r="BK25" i="1"/>
  <c r="BJ25"/>
  <c r="BI25"/>
  <c r="BI2"/>
  <c r="BK2"/>
  <c r="BJ2"/>
  <c r="BJ23"/>
  <c r="BI24"/>
  <c r="BI4"/>
  <c r="BI8"/>
  <c r="BI12"/>
  <c r="BI16"/>
  <c r="BI21"/>
  <c r="BK21"/>
  <c r="BJ7"/>
  <c r="BK4"/>
  <c r="BJ19"/>
  <c r="BK13"/>
  <c r="BK19"/>
  <c r="BJ9"/>
  <c r="BK6"/>
  <c r="BJ6"/>
  <c r="BK3"/>
  <c r="BI6"/>
  <c r="BI18"/>
  <c r="BK12"/>
  <c r="BK16"/>
  <c r="BK5"/>
  <c r="BK18"/>
  <c r="BK11"/>
  <c r="BJ24"/>
  <c r="BI9"/>
  <c r="BJ16"/>
  <c r="BJ3"/>
  <c r="BJ12"/>
  <c r="BJ18"/>
  <c r="BJ21"/>
  <c r="BI23"/>
  <c r="BI3"/>
  <c r="BI7"/>
  <c r="BI11"/>
  <c r="BI15"/>
  <c r="BI20"/>
  <c r="BJ11"/>
  <c r="BK8"/>
  <c r="BK20"/>
  <c r="BJ4"/>
  <c r="BK15"/>
  <c r="BJ13"/>
  <c r="BK10"/>
  <c r="BK22"/>
  <c r="BJ10"/>
  <c r="BK7"/>
  <c r="BK24"/>
  <c r="BI19"/>
  <c r="BI10"/>
  <c r="BI14"/>
  <c r="BJ20"/>
  <c r="BJ8"/>
  <c r="BJ22"/>
  <c r="BK14"/>
  <c r="BJ14"/>
  <c r="BK23"/>
  <c r="BI5"/>
  <c r="BI13"/>
  <c r="BI22"/>
  <c r="BJ15"/>
  <c r="BK9"/>
  <c r="BJ5"/>
  <c r="BJ17"/>
  <c r="BK17"/>
  <c r="BI17"/>
  <c r="A4" i="2"/>
</calcChain>
</file>

<file path=xl/sharedStrings.xml><?xml version="1.0" encoding="utf-8"?>
<sst xmlns="http://schemas.openxmlformats.org/spreadsheetml/2006/main" count="265" uniqueCount="139">
  <si>
    <t>name</t>
  </si>
  <si>
    <t>info</t>
  </si>
  <si>
    <t>returns</t>
  </si>
  <si>
    <t>parcount</t>
  </si>
  <si>
    <t>optcount</t>
  </si>
  <si>
    <t>p1</t>
  </si>
  <si>
    <t>t1</t>
  </si>
  <si>
    <t>p2</t>
  </si>
  <si>
    <t>t2</t>
  </si>
  <si>
    <t>p3</t>
  </si>
  <si>
    <t>t3</t>
  </si>
  <si>
    <t>p4</t>
  </si>
  <si>
    <t>t4</t>
  </si>
  <si>
    <t>p5</t>
  </si>
  <si>
    <t>t5</t>
  </si>
  <si>
    <t>VT_BSTR</t>
  </si>
  <si>
    <t>p6</t>
  </si>
  <si>
    <t>t6</t>
  </si>
  <si>
    <t>p7</t>
  </si>
  <si>
    <t>t7</t>
  </si>
  <si>
    <t>p8</t>
  </si>
  <si>
    <t>t8</t>
  </si>
  <si>
    <t>p9</t>
  </si>
  <si>
    <t>t9</t>
  </si>
  <si>
    <t>p10</t>
  </si>
  <si>
    <t>t10</t>
  </si>
  <si>
    <t>p11</t>
  </si>
  <si>
    <t>t11</t>
  </si>
  <si>
    <t>p12</t>
  </si>
  <si>
    <t>t12</t>
  </si>
  <si>
    <t>p13</t>
  </si>
  <si>
    <t>t13</t>
  </si>
  <si>
    <t>p14</t>
  </si>
  <si>
    <t>t14</t>
  </si>
  <si>
    <t>p15</t>
  </si>
  <si>
    <t>t15</t>
  </si>
  <si>
    <t>p16</t>
  </si>
  <si>
    <t>t16</t>
  </si>
  <si>
    <t>p17</t>
  </si>
  <si>
    <t>t17</t>
  </si>
  <si>
    <t>p18</t>
  </si>
  <si>
    <t>t18</t>
  </si>
  <si>
    <t>p19</t>
  </si>
  <si>
    <t>t19</t>
  </si>
  <si>
    <t>p20</t>
  </si>
  <si>
    <t>t20</t>
  </si>
  <si>
    <t>p21</t>
  </si>
  <si>
    <t>t21</t>
  </si>
  <si>
    <t>p22</t>
  </si>
  <si>
    <t>t22</t>
  </si>
  <si>
    <t>p23</t>
  </si>
  <si>
    <t>t23</t>
  </si>
  <si>
    <t>p24</t>
  </si>
  <si>
    <t>t24</t>
  </si>
  <si>
    <t>p25</t>
  </si>
  <si>
    <t>t25</t>
  </si>
  <si>
    <t>p26</t>
  </si>
  <si>
    <t>t26</t>
  </si>
  <si>
    <t>IDL</t>
  </si>
  <si>
    <t>Perl</t>
  </si>
  <si>
    <t>p27</t>
  </si>
  <si>
    <t>t27</t>
  </si>
  <si>
    <t>id</t>
  </si>
  <si>
    <t>New</t>
  </si>
  <si>
    <t>WSC</t>
  </si>
  <si>
    <t>VT_BOOL</t>
  </si>
  <si>
    <t>VT_DISPATCH</t>
  </si>
  <si>
    <t>Returns a reference to a new formula object. No arguments currently needed or required.</t>
  </si>
  <si>
    <t>Annulus</t>
  </si>
  <si>
    <t>The annulus method provides an area formula.</t>
  </si>
  <si>
    <t>dFormula</t>
  </si>
  <si>
    <t>dInnerRadius</t>
  </si>
  <si>
    <t>dOuterRadius</t>
  </si>
  <si>
    <t>Circle</t>
  </si>
  <si>
    <t>The circle method provides an area, circumference, and diameter formula.</t>
  </si>
  <si>
    <t>dRadius</t>
  </si>
  <si>
    <t>Cone</t>
  </si>
  <si>
    <t>The cone method provides a volume formula.</t>
  </si>
  <si>
    <t>dBase</t>
  </si>
  <si>
    <t>dHeight</t>
  </si>
  <si>
    <t>Cube</t>
  </si>
  <si>
    <t>The cube method provides a surface area and volume formula.</t>
  </si>
  <si>
    <t>dA</t>
  </si>
  <si>
    <t>Ellipse</t>
  </si>
  <si>
    <t>The ellipse method provides an area and perimeter formula.</t>
  </si>
  <si>
    <t>dB</t>
  </si>
  <si>
    <t>Ellipsoid</t>
  </si>
  <si>
    <t>The ellipsoid method provides a volume formula.</t>
  </si>
  <si>
    <t>dC</t>
  </si>
  <si>
    <t>The equalateral_triangle method provides an area formula.</t>
  </si>
  <si>
    <t>dSide</t>
  </si>
  <si>
    <t>Equilateral_Triangle</t>
  </si>
  <si>
    <t>Frustum_of_Right_Circular_Cone</t>
  </si>
  <si>
    <t>The frustum_of_right_circular_cone method provides a lateral_surface_area, total_surface_area, and volume formula.</t>
  </si>
  <si>
    <t>dSlantHeight</t>
  </si>
  <si>
    <t>dLargeRadius</t>
  </si>
  <si>
    <t>dSmallRadius</t>
  </si>
  <si>
    <t>Parallelogram</t>
  </si>
  <si>
    <t>The parallelogram method provides an area and perimeter formula.</t>
  </si>
  <si>
    <t>Rectangle</t>
  </si>
  <si>
    <t>The rectangle method provides an area and perimeter formula.</t>
  </si>
  <si>
    <t>dLength</t>
  </si>
  <si>
    <t>dWidth</t>
  </si>
  <si>
    <t>Rectangular_Solid</t>
  </si>
  <si>
    <t>The rectangular_solid method provides an and perimeter formula.</t>
  </si>
  <si>
    <t>Rhombus</t>
  </si>
  <si>
    <t>The rhombus method provides an area formula.</t>
  </si>
  <si>
    <t>Right_Circular_Cone</t>
  </si>
  <si>
    <t>The right_circular_cone method provides a lateral surface area formula.</t>
  </si>
  <si>
    <t>Right_Circular_Cylinder</t>
  </si>
  <si>
    <t>The right_circular_cylinder method provides a side surface area, total surface area, and volume formula.</t>
  </si>
  <si>
    <t>Sector_of_Circle</t>
  </si>
  <si>
    <t>dTheta</t>
  </si>
  <si>
    <t>Sphere</t>
  </si>
  <si>
    <t>The sphere method provides a surface area and volume formula.</t>
  </si>
  <si>
    <t>Square</t>
  </si>
  <si>
    <t>The square method provides an area and perimeter formula.</t>
  </si>
  <si>
    <t>The torus method provides a surface area and volume formula.</t>
  </si>
  <si>
    <t>Torus</t>
  </si>
  <si>
    <t>Trapezoid</t>
  </si>
  <si>
    <t>dD</t>
  </si>
  <si>
    <t>dC_Height</t>
  </si>
  <si>
    <t>Triangle</t>
  </si>
  <si>
    <t>The triangle method provides an area and perimeter formula (perimeter uses 4th parameter)</t>
  </si>
  <si>
    <t>The trapezoid method provides an area and perimeter formula (perimeter uses 5th parameter).</t>
  </si>
  <si>
    <t>dA_Base</t>
  </si>
  <si>
    <t>dB_Height</t>
  </si>
  <si>
    <t>Squared</t>
  </si>
  <si>
    <t>Cubed</t>
  </si>
  <si>
    <t>Param_Check</t>
  </si>
  <si>
    <t>numeric values passed to this function get $self-&gt;_squared and returned.</t>
  </si>
  <si>
    <t>numeric values passed to this fucntion get$self-&gt;_cubed and returned</t>
  </si>
  <si>
    <t>this method validates the parameters being passed into our formula methods are properly constructed.</t>
  </si>
  <si>
    <t>dValue</t>
  </si>
  <si>
    <t>dFunction</t>
  </si>
  <si>
    <t>aParams</t>
  </si>
  <si>
    <t>VT_VARIANT|VT_ARRAY</t>
  </si>
  <si>
    <t>VT_R8</t>
  </si>
  <si>
    <t>The sector_of_circle method provides an area formula. Theta in degrees.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</si>
</sst>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sz val="8"/>
      <color indexed="8"/>
      <name val="Verdana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0" fillId="0" borderId="0" xfId="0" applyFont="1"/>
    <xf numFmtId="0" fontId="2" fillId="0" borderId="0" xfId="1" applyFont="1"/>
    <xf numFmtId="0" fontId="3" fillId="0" borderId="0" xfId="0" applyFont="1"/>
    <xf numFmtId="0" fontId="5" fillId="0" borderId="0" xfId="0" applyNumberFormat="1" applyFont="1"/>
    <xf numFmtId="0" fontId="5" fillId="0" borderId="0" xfId="0" applyFont="1"/>
    <xf numFmtId="0" fontId="5" fillId="0" borderId="0" xfId="0" applyFont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K93"/>
  <sheetViews>
    <sheetView tabSelected="1" workbookViewId="0">
      <selection activeCell="C18" sqref="C18"/>
    </sheetView>
  </sheetViews>
  <sheetFormatPr defaultRowHeight="15"/>
  <cols>
    <col min="2" max="2" width="32" bestFit="1" customWidth="1"/>
    <col min="3" max="3" width="71.42578125" bestFit="1" customWidth="1"/>
    <col min="4" max="4" width="22.85546875" bestFit="1" customWidth="1"/>
    <col min="7" max="7" width="11" bestFit="1" customWidth="1"/>
    <col min="8" max="8" width="12.28515625" bestFit="1" customWidth="1"/>
    <col min="9" max="9" width="8.140625" customWidth="1"/>
    <col min="10" max="10" width="12.28515625" customWidth="1"/>
    <col min="61" max="61" width="255.7109375" bestFit="1" customWidth="1"/>
    <col min="62" max="62" width="86.140625" bestFit="1" customWidth="1"/>
  </cols>
  <sheetData>
    <row r="1" spans="1:63">
      <c r="A1" t="s">
        <v>62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60</v>
      </c>
      <c r="BH1" s="1" t="s">
        <v>61</v>
      </c>
      <c r="BI1" s="1" t="s">
        <v>58</v>
      </c>
      <c r="BJ1" s="1" t="s">
        <v>59</v>
      </c>
      <c r="BK1" s="1" t="s">
        <v>64</v>
      </c>
    </row>
    <row r="2" spans="1:63">
      <c r="A2">
        <v>1</v>
      </c>
      <c r="B2" t="s">
        <v>63</v>
      </c>
      <c r="C2" s="5" t="s">
        <v>67</v>
      </c>
      <c r="D2" t="s">
        <v>66</v>
      </c>
      <c r="E2" s="2">
        <v>0</v>
      </c>
      <c r="F2" s="2">
        <v>0</v>
      </c>
      <c r="H2" s="2"/>
      <c r="I2" s="2"/>
      <c r="M2" s="2"/>
      <c r="N2" s="2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t="str">
        <f>"'"&amp;B2&amp;"' =&gt; { DocString =&gt; '"&amp;EscapeQuotes(C2)&amp;"', \n\tRetType =&gt; "&amp;D2&amp;", \n\tTotalParams =&gt; "&amp;E2&amp;", \n\tNumOptionalParams =&gt; "&amp;F2&amp;", \n\tParamList =&gt; ["&amp;ParamList(E2,G2:BH2)&amp;"] },"</f>
        <v>'New' =&gt; { DocString =&gt; 'Returns a reference to a new formula object. No arguments currently needed or required.', \n\tRetType =&gt; VT_DISPATCH, \n\tTotalParams =&gt; 0, \n\tNumOptionalParams =&gt; 0, \n\tParamList =&gt; [] },</v>
      </c>
      <c r="BJ2" t="str">
        <f t="shared" ref="BJ2:BJ25" si="0">"sub "&amp;B2&amp;" {\n"&amp;PerlParams(E2,G2:BH2)&amp;"}"</f>
        <v>sub New {\n\treturn 1;\n}</v>
      </c>
      <c r="BK2" t="str">
        <f t="shared" ref="BK2" si="1">"&lt;method name='"&amp;B2&amp;"'&gt;"&amp;wsc(E2,G2:BH2)&amp;"&lt;/method&gt;"</f>
        <v>&lt;method name='New'&gt;&lt;/method&gt;</v>
      </c>
    </row>
    <row r="3" spans="1:63">
      <c r="A3">
        <v>2</v>
      </c>
      <c r="B3" t="s">
        <v>68</v>
      </c>
      <c r="C3" s="6" t="s">
        <v>69</v>
      </c>
      <c r="D3" t="s">
        <v>137</v>
      </c>
      <c r="E3">
        <v>3</v>
      </c>
      <c r="F3">
        <v>0</v>
      </c>
      <c r="G3" t="s">
        <v>70</v>
      </c>
      <c r="H3" t="s">
        <v>15</v>
      </c>
      <c r="I3" t="s">
        <v>71</v>
      </c>
      <c r="J3" t="s">
        <v>137</v>
      </c>
      <c r="K3" t="s">
        <v>72</v>
      </c>
      <c r="L3" t="s">
        <v>137</v>
      </c>
      <c r="BI3" t="str">
        <f>"'"&amp;B3&amp;"' =&gt; { DocString =&gt; '"&amp;EscapeQuotes(C3)&amp;"', \n\tRetType =&gt; "&amp;D3&amp;", \n\tTotalParams =&gt; "&amp;E3&amp;", \n\tNumOptionalParams =&gt; "&amp;F3&amp;", \n\tParamList =&gt; ["&amp;ParamList(E3,G3:BH3)&amp;"] },"</f>
        <v>'Annulus' =&gt; { DocString =&gt; 'The annulus method provides an area formula.', \n\tRetType =&gt; VT_R8, \n\tTotalParams =&gt; 3, \n\tNumOptionalParams =&gt; 0, \n\tParamList =&gt; [Formula =&gt; VT_BSTR, InnerRadius =&gt; VT_R8, OuterRadius =&gt; VT_R8] },</v>
      </c>
      <c r="BJ3" t="str">
        <f t="shared" si="0"/>
        <v>sub Annulus {\n\tmy ($Formula) = shift;\n\tmy ($InnerRadius) = shift;\n\tmy ($OuterRadius) = shift;\n\treturn 1;\n}</v>
      </c>
      <c r="BK3" t="str">
        <f t="shared" ref="BK3:BK25" si="2">"&lt;method name='"&amp;B3&amp;"'&gt;"&amp;wsc(E3,G3:BH3)&amp;"&lt;/method&gt;"</f>
        <v>&lt;method name='Annulus'&gt;&lt;parameter name='dFormula'/&gt;&lt;parameter name='dInnerRadius'/&gt;&lt;parameter name='dOuterRadius'/&gt;&lt;/method&gt;</v>
      </c>
    </row>
    <row r="4" spans="1:63">
      <c r="A4">
        <v>3</v>
      </c>
      <c r="B4" t="s">
        <v>73</v>
      </c>
      <c r="C4" s="6" t="s">
        <v>74</v>
      </c>
      <c r="D4" t="s">
        <v>137</v>
      </c>
      <c r="E4">
        <v>2</v>
      </c>
      <c r="F4">
        <v>0</v>
      </c>
      <c r="G4" t="s">
        <v>70</v>
      </c>
      <c r="H4" t="s">
        <v>15</v>
      </c>
      <c r="I4" t="s">
        <v>75</v>
      </c>
      <c r="J4" t="s">
        <v>137</v>
      </c>
      <c r="BI4" t="str">
        <f>"'"&amp;B4&amp;"' =&gt; { DocString =&gt; '"&amp;EscapeQuotes(C4)&amp;"', \n\tRetType =&gt; "&amp;D4&amp;", \n\tTotalParams =&gt; "&amp;E4&amp;", \n\tNumOptionalParams =&gt; "&amp;F4&amp;", \n\tParamList =&gt; ["&amp;ParamList(E4,G4:BH4)&amp;"] },"</f>
        <v>'Circle' =&gt; { DocString =&gt; 'The circle method provides an area, circumference, and diameter formula.', \n\tRetType =&gt; VT_R8, \n\tTotalParams =&gt; 2, \n\tNumOptionalParams =&gt; 0, \n\tParamList =&gt; [Formula =&gt; VT_BSTR, Radius =&gt; VT_R8] },</v>
      </c>
      <c r="BJ4" t="str">
        <f t="shared" si="0"/>
        <v>sub Circle {\n\tmy ($Formula) = shift;\n\tmy ($Radius) = shift;\n\treturn 1;\n}</v>
      </c>
      <c r="BK4" t="str">
        <f t="shared" si="2"/>
        <v>&lt;method name='Circle'&gt;&lt;parameter name='dFormula'/&gt;&lt;parameter name='dRadius'/&gt;&lt;/method&gt;</v>
      </c>
    </row>
    <row r="5" spans="1:63">
      <c r="A5">
        <v>4</v>
      </c>
      <c r="B5" t="s">
        <v>76</v>
      </c>
      <c r="C5" s="6" t="s">
        <v>77</v>
      </c>
      <c r="D5" t="s">
        <v>137</v>
      </c>
      <c r="E5">
        <v>3</v>
      </c>
      <c r="F5">
        <v>0</v>
      </c>
      <c r="G5" t="s">
        <v>70</v>
      </c>
      <c r="H5" t="s">
        <v>15</v>
      </c>
      <c r="I5" t="s">
        <v>78</v>
      </c>
      <c r="J5" t="s">
        <v>137</v>
      </c>
      <c r="K5" t="s">
        <v>79</v>
      </c>
      <c r="L5" t="s">
        <v>137</v>
      </c>
      <c r="BI5" t="str">
        <f>"'"&amp;B5&amp;"' =&gt; { DocString =&gt; '"&amp;EscapeQuotes(C5)&amp;"', \n\tRetType =&gt; "&amp;D5&amp;", \n\tTotalParams =&gt; "&amp;E5&amp;", \n\tNumOptionalParams =&gt; "&amp;F5&amp;", \n\tParamList =&gt; ["&amp;ParamList(E5,G5:BH5)&amp;"] },"</f>
        <v>'Cone' =&gt; { DocString =&gt; 'The cone method provides a volume formula.', \n\tRetType =&gt; VT_R8, \n\tTotalParams =&gt; 3, \n\tNumOptionalParams =&gt; 0, \n\tParamList =&gt; [Formula =&gt; VT_BSTR, Base =&gt; VT_R8, Height =&gt; VT_R8] },</v>
      </c>
      <c r="BJ5" t="str">
        <f t="shared" si="0"/>
        <v>sub Cone {\n\tmy ($Formula) = shift;\n\tmy ($Base) = shift;\n\tmy ($Height) = shift;\n\treturn 1;\n}</v>
      </c>
      <c r="BK5" t="str">
        <f t="shared" si="2"/>
        <v>&lt;method name='Cone'&gt;&lt;parameter name='dFormula'/&gt;&lt;parameter name='dBase'/&gt;&lt;parameter name='dHeight'/&gt;&lt;/method&gt;</v>
      </c>
    </row>
    <row r="6" spans="1:63">
      <c r="A6">
        <v>5</v>
      </c>
      <c r="B6" t="s">
        <v>80</v>
      </c>
      <c r="C6" s="6" t="s">
        <v>81</v>
      </c>
      <c r="D6" t="s">
        <v>137</v>
      </c>
      <c r="E6">
        <v>2</v>
      </c>
      <c r="F6">
        <v>0</v>
      </c>
      <c r="G6" t="s">
        <v>70</v>
      </c>
      <c r="H6" t="s">
        <v>15</v>
      </c>
      <c r="I6" t="s">
        <v>82</v>
      </c>
      <c r="J6" t="s">
        <v>137</v>
      </c>
      <c r="BI6" t="str">
        <f>"'"&amp;B6&amp;"' =&gt; { DocString =&gt; '"&amp;EscapeQuotes(C6)&amp;"', \n\tRetType =&gt; "&amp;D6&amp;", \n\tTotalParams =&gt; "&amp;E6&amp;", \n\tNumOptionalParams =&gt; "&amp;F6&amp;", \n\tParamList =&gt; ["&amp;ParamList(E6,G6:BH6)&amp;"] },"</f>
        <v>'Cube' =&gt; { DocString =&gt; 'The cube method provides a surface area and volume formula.', \n\tRetType =&gt; VT_R8, \n\tTotalParams =&gt; 2, \n\tNumOptionalParams =&gt; 0, \n\tParamList =&gt; [Formula =&gt; VT_BSTR, A =&gt; VT_R8] },</v>
      </c>
      <c r="BJ6" t="str">
        <f t="shared" si="0"/>
        <v>sub Cube {\n\tmy ($Formula) = shift;\n\tmy ($A) = shift;\n\treturn 1;\n}</v>
      </c>
      <c r="BK6" t="str">
        <f t="shared" si="2"/>
        <v>&lt;method name='Cube'&gt;&lt;parameter name='dFormula'/&gt;&lt;parameter name='dA'/&gt;&lt;/method&gt;</v>
      </c>
    </row>
    <row r="7" spans="1:63">
      <c r="A7">
        <v>6</v>
      </c>
      <c r="B7" t="s">
        <v>83</v>
      </c>
      <c r="C7" s="6" t="s">
        <v>84</v>
      </c>
      <c r="D7" t="s">
        <v>137</v>
      </c>
      <c r="E7">
        <v>3</v>
      </c>
      <c r="F7">
        <v>0</v>
      </c>
      <c r="G7" t="s">
        <v>70</v>
      </c>
      <c r="H7" t="s">
        <v>15</v>
      </c>
      <c r="I7" t="s">
        <v>82</v>
      </c>
      <c r="J7" t="s">
        <v>137</v>
      </c>
      <c r="K7" t="s">
        <v>85</v>
      </c>
      <c r="L7" t="s">
        <v>137</v>
      </c>
      <c r="BI7" t="str">
        <f>"'"&amp;B7&amp;"' =&gt; { DocString =&gt; '"&amp;EscapeQuotes(C7)&amp;"', \n\tRetType =&gt; "&amp;D7&amp;", \n\tTotalParams =&gt; "&amp;E7&amp;", \n\tNumOptionalParams =&gt; "&amp;F7&amp;", \n\tParamList =&gt; ["&amp;ParamList(E7,G7:BH7)&amp;"] },"</f>
        <v>'Ellipse' =&gt; { DocString =&gt; 'The ellipse method provides an area and perimeter formula.', \n\tRetType =&gt; VT_R8, \n\tTotalParams =&gt; 3, \n\tNumOptionalParams =&gt; 0, \n\tParamList =&gt; [Formula =&gt; VT_BSTR, A =&gt; VT_R8, B =&gt; VT_R8] },</v>
      </c>
      <c r="BJ7" t="str">
        <f t="shared" si="0"/>
        <v>sub Ellipse {\n\tmy ($Formula) = shift;\n\tmy ($A) = shift;\n\tmy ($B) = shift;\n\treturn 1;\n}</v>
      </c>
      <c r="BK7" t="str">
        <f t="shared" si="2"/>
        <v>&lt;method name='Ellipse'&gt;&lt;parameter name='dFormula'/&gt;&lt;parameter name='dA'/&gt;&lt;parameter name='dB'/&gt;&lt;/method&gt;</v>
      </c>
    </row>
    <row r="8" spans="1:63">
      <c r="A8">
        <v>7</v>
      </c>
      <c r="B8" t="s">
        <v>86</v>
      </c>
      <c r="C8" s="6" t="s">
        <v>87</v>
      </c>
      <c r="D8" t="s">
        <v>137</v>
      </c>
      <c r="E8">
        <v>4</v>
      </c>
      <c r="F8">
        <v>0</v>
      </c>
      <c r="G8" t="s">
        <v>70</v>
      </c>
      <c r="H8" t="s">
        <v>15</v>
      </c>
      <c r="I8" t="s">
        <v>82</v>
      </c>
      <c r="J8" t="s">
        <v>137</v>
      </c>
      <c r="K8" t="s">
        <v>85</v>
      </c>
      <c r="L8" t="s">
        <v>137</v>
      </c>
      <c r="M8" t="s">
        <v>88</v>
      </c>
      <c r="N8" t="s">
        <v>137</v>
      </c>
      <c r="BI8" t="str">
        <f>"'"&amp;B8&amp;"' =&gt; { DocString =&gt; '"&amp;EscapeQuotes(C8)&amp;"', \n\tRetType =&gt; "&amp;D8&amp;", \n\tTotalParams =&gt; "&amp;E8&amp;", \n\tNumOptionalParams =&gt; "&amp;F8&amp;", \n\tParamList =&gt; ["&amp;ParamList(E8,G8:BH8)&amp;"] },"</f>
        <v>'Ellipsoid' =&gt; { DocString =&gt; 'The ellipsoid method provides a volume formula.', \n\tRetType =&gt; VT_R8, \n\tTotalParams =&gt; 4, \n\tNumOptionalParams =&gt; 0, \n\tParamList =&gt; [Formula =&gt; VT_BSTR, A =&gt; VT_R8, B =&gt; VT_R8, C =&gt; VT_R8] },</v>
      </c>
      <c r="BJ8" t="str">
        <f t="shared" si="0"/>
        <v>sub Ellipsoid {\n\tmy ($Formula) = shift;\n\tmy ($A) = shift;\n\tmy ($B) = shift;\n\tmy ($C) = shift;\n\treturn 1;\n}</v>
      </c>
      <c r="BK8" t="str">
        <f t="shared" si="2"/>
        <v>&lt;method name='Ellipsoid'&gt;&lt;parameter name='dFormula'/&gt;&lt;parameter name='dA'/&gt;&lt;parameter name='dB'/&gt;&lt;parameter name='dC'/&gt;&lt;/method&gt;</v>
      </c>
    </row>
    <row r="9" spans="1:63">
      <c r="A9">
        <v>8</v>
      </c>
      <c r="B9" t="s">
        <v>91</v>
      </c>
      <c r="C9" s="6" t="s">
        <v>89</v>
      </c>
      <c r="D9" t="s">
        <v>137</v>
      </c>
      <c r="E9">
        <v>2</v>
      </c>
      <c r="F9">
        <v>0</v>
      </c>
      <c r="G9" t="s">
        <v>70</v>
      </c>
      <c r="H9" t="s">
        <v>15</v>
      </c>
      <c r="I9" t="s">
        <v>90</v>
      </c>
      <c r="J9" t="s">
        <v>137</v>
      </c>
      <c r="BI9" t="str">
        <f>"'"&amp;B9&amp;"' =&gt; { DocString =&gt; '"&amp;EscapeQuotes(C9)&amp;"', \n\tRetType =&gt; "&amp;D9&amp;", \n\tTotalParams =&gt; "&amp;E9&amp;", \n\tNumOptionalParams =&gt; "&amp;F9&amp;", \n\tParamList =&gt; ["&amp;ParamList(E9,G9:BH9)&amp;"] },"</f>
        <v>'Equilateral_Triangle' =&gt; { DocString =&gt; 'The equalateral_triangle method provides an area formula.', \n\tRetType =&gt; VT_R8, \n\tTotalParams =&gt; 2, \n\tNumOptionalParams =&gt; 0, \n\tParamList =&gt; [Formula =&gt; VT_BSTR, Side =&gt; VT_R8] },</v>
      </c>
      <c r="BJ9" t="str">
        <f t="shared" si="0"/>
        <v>sub Equilateral_Triangle {\n\tmy ($Formula) = shift;\n\tmy ($Side) = shift;\n\treturn 1;\n}</v>
      </c>
      <c r="BK9" t="str">
        <f t="shared" si="2"/>
        <v>&lt;method name='Equilateral_Triangle'&gt;&lt;parameter name='dFormula'/&gt;&lt;parameter name='dSide'/&gt;&lt;/method&gt;</v>
      </c>
    </row>
    <row r="10" spans="1:63">
      <c r="A10">
        <v>9</v>
      </c>
      <c r="B10" t="s">
        <v>92</v>
      </c>
      <c r="C10" s="6" t="s">
        <v>93</v>
      </c>
      <c r="D10" t="s">
        <v>137</v>
      </c>
      <c r="E10">
        <v>4</v>
      </c>
      <c r="F10">
        <v>0</v>
      </c>
      <c r="G10" t="s">
        <v>70</v>
      </c>
      <c r="H10" t="s">
        <v>15</v>
      </c>
      <c r="I10" t="s">
        <v>94</v>
      </c>
      <c r="J10" t="s">
        <v>137</v>
      </c>
      <c r="K10" t="s">
        <v>95</v>
      </c>
      <c r="L10" t="s">
        <v>137</v>
      </c>
      <c r="M10" t="s">
        <v>96</v>
      </c>
      <c r="N10" t="s">
        <v>137</v>
      </c>
      <c r="BI10" t="str">
        <f>"'"&amp;B10&amp;"' =&gt; { DocString =&gt; '"&amp;EscapeQuotes(C10)&amp;"', \n\tRetType =&gt; "&amp;D10&amp;", \n\tTotalParams =&gt; "&amp;E10&amp;", \n\tNumOptionalParams =&gt; "&amp;F10&amp;", \n\tParamList =&gt; ["&amp;ParamList(E10,G10:BH10)&amp;"] },"</f>
        <v>'Frustum_of_Right_Circular_Cone' =&gt; { DocString =&gt; 'The frustum_of_right_circular_cone method provides a lateral_surface_area, total_surface_area, and volume formula.', \n\tRetType =&gt; VT_R8, \n\tTotalParams =&gt; 4, \n\tNumOptionalParams =&gt; 0, \n\tParamList =&gt; [Formula =&gt; VT_BSTR, SlantHeight =&gt; VT_R8, LargeRadius =&gt; VT_R8, SmallRadius =&gt; VT_R8] },</v>
      </c>
      <c r="BJ10" t="str">
        <f t="shared" si="0"/>
        <v>sub Frustum_of_Right_Circular_Cone {\n\tmy ($Formula) = shift;\n\tmy ($SlantHeight) = shift;\n\tmy ($LargeRadius) = shift;\n\tmy ($SmallRadius) = shift;\n\treturn 1;\n}</v>
      </c>
      <c r="BK10" t="str">
        <f t="shared" si="2"/>
        <v>&lt;method name='Frustum_of_Right_Circular_Cone'&gt;&lt;parameter name='dFormula'/&gt;&lt;parameter name='dSlantHeight'/&gt;&lt;parameter name='dLargeRadius'/&gt;&lt;parameter name='dSmallRadius'/&gt;&lt;/method&gt;</v>
      </c>
    </row>
    <row r="11" spans="1:63">
      <c r="A11">
        <v>10</v>
      </c>
      <c r="B11" t="s">
        <v>97</v>
      </c>
      <c r="C11" s="6" t="s">
        <v>98</v>
      </c>
      <c r="D11" t="s">
        <v>137</v>
      </c>
      <c r="E11">
        <v>3</v>
      </c>
      <c r="F11">
        <v>0</v>
      </c>
      <c r="G11" t="s">
        <v>70</v>
      </c>
      <c r="H11" t="s">
        <v>15</v>
      </c>
      <c r="I11" t="s">
        <v>78</v>
      </c>
      <c r="J11" t="s">
        <v>137</v>
      </c>
      <c r="K11" t="s">
        <v>79</v>
      </c>
      <c r="L11" t="s">
        <v>137</v>
      </c>
      <c r="BI11" t="str">
        <f>"'"&amp;B11&amp;"' =&gt; { DocString =&gt; '"&amp;EscapeQuotes(C11)&amp;"', \n\tRetType =&gt; "&amp;D11&amp;", \n\tTotalParams =&gt; "&amp;E11&amp;", \n\tNumOptionalParams =&gt; "&amp;F11&amp;", \n\tParamList =&gt; ["&amp;ParamList(E11,G11:BH11)&amp;"] },"</f>
        <v>'Parallelogram' =&gt; { DocString =&gt; 'The parallelogram method provides an area and perimeter formula.', \n\tRetType =&gt; VT_R8, \n\tTotalParams =&gt; 3, \n\tNumOptionalParams =&gt; 0, \n\tParamList =&gt; [Formula =&gt; VT_BSTR, Base =&gt; VT_R8, Height =&gt; VT_R8] },</v>
      </c>
      <c r="BJ11" t="str">
        <f t="shared" si="0"/>
        <v>sub Parallelogram {\n\tmy ($Formula) = shift;\n\tmy ($Base) = shift;\n\tmy ($Height) = shift;\n\treturn 1;\n}</v>
      </c>
      <c r="BK11" t="str">
        <f t="shared" si="2"/>
        <v>&lt;method name='Parallelogram'&gt;&lt;parameter name='dFormula'/&gt;&lt;parameter name='dBase'/&gt;&lt;parameter name='dHeight'/&gt;&lt;/method&gt;</v>
      </c>
    </row>
    <row r="12" spans="1:63">
      <c r="A12">
        <v>11</v>
      </c>
      <c r="B12" t="s">
        <v>99</v>
      </c>
      <c r="C12" s="6" t="s">
        <v>100</v>
      </c>
      <c r="D12" t="s">
        <v>137</v>
      </c>
      <c r="E12">
        <v>3</v>
      </c>
      <c r="F12">
        <v>0</v>
      </c>
      <c r="G12" t="s">
        <v>70</v>
      </c>
      <c r="H12" t="s">
        <v>15</v>
      </c>
      <c r="I12" t="s">
        <v>101</v>
      </c>
      <c r="J12" t="s">
        <v>137</v>
      </c>
      <c r="K12" t="s">
        <v>102</v>
      </c>
      <c r="L12" t="s">
        <v>137</v>
      </c>
      <c r="BI12" t="str">
        <f>"'"&amp;B12&amp;"' =&gt; { DocString =&gt; '"&amp;EscapeQuotes(C12)&amp;"', \n\tRetType =&gt; "&amp;D12&amp;", \n\tTotalParams =&gt; "&amp;E12&amp;", \n\tNumOptionalParams =&gt; "&amp;F12&amp;", \n\tParamList =&gt; ["&amp;ParamList(E12,G12:BH12)&amp;"] },"</f>
        <v>'Rectangle' =&gt; { DocString =&gt; 'The rectangle method provides an area and perimeter formula.', \n\tRetType =&gt; VT_R8, \n\tTotalParams =&gt; 3, \n\tNumOptionalParams =&gt; 0, \n\tParamList =&gt; [Formula =&gt; VT_BSTR, Length =&gt; VT_R8, Width =&gt; VT_R8] },</v>
      </c>
      <c r="BJ12" t="str">
        <f t="shared" si="0"/>
        <v>sub Rectangle {\n\tmy ($Formula) = shift;\n\tmy ($Length) = shift;\n\tmy ($Width) = shift;\n\treturn 1;\n}</v>
      </c>
      <c r="BK12" t="str">
        <f t="shared" si="2"/>
        <v>&lt;method name='Rectangle'&gt;&lt;parameter name='dFormula'/&gt;&lt;parameter name='dLength'/&gt;&lt;parameter name='dWidth'/&gt;&lt;/method&gt;</v>
      </c>
    </row>
    <row r="13" spans="1:63">
      <c r="A13">
        <v>12</v>
      </c>
      <c r="B13" t="s">
        <v>103</v>
      </c>
      <c r="C13" s="6" t="s">
        <v>104</v>
      </c>
      <c r="D13" t="s">
        <v>137</v>
      </c>
      <c r="E13">
        <v>4</v>
      </c>
      <c r="F13">
        <v>0</v>
      </c>
      <c r="G13" t="s">
        <v>70</v>
      </c>
      <c r="H13" t="s">
        <v>15</v>
      </c>
      <c r="I13" t="s">
        <v>101</v>
      </c>
      <c r="J13" t="s">
        <v>137</v>
      </c>
      <c r="K13" t="s">
        <v>102</v>
      </c>
      <c r="L13" t="s">
        <v>137</v>
      </c>
      <c r="M13" t="s">
        <v>79</v>
      </c>
      <c r="N13" t="s">
        <v>137</v>
      </c>
      <c r="BI13" t="str">
        <f>"'"&amp;B13&amp;"' =&gt; { DocString =&gt; '"&amp;EscapeQuotes(C13)&amp;"', \n\tRetType =&gt; "&amp;D13&amp;", \n\tTotalParams =&gt; "&amp;E13&amp;", \n\tNumOptionalParams =&gt; "&amp;F13&amp;", \n\tParamList =&gt; ["&amp;ParamList(E13,G13:BH13)&amp;"] },"</f>
        <v>'Rectangular_Solid' =&gt; { DocString =&gt; 'The rectangular_solid method provides an and perimeter formula.', \n\tRetType =&gt; VT_R8, \n\tTotalParams =&gt; 4, \n\tNumOptionalParams =&gt; 0, \n\tParamList =&gt; [Formula =&gt; VT_BSTR, Length =&gt; VT_R8, Width =&gt; VT_R8, Height =&gt; VT_R8] },</v>
      </c>
      <c r="BJ13" t="str">
        <f t="shared" si="0"/>
        <v>sub Rectangular_Solid {\n\tmy ($Formula) = shift;\n\tmy ($Length) = shift;\n\tmy ($Width) = shift;\n\tmy ($Height) = shift;\n\treturn 1;\n}</v>
      </c>
      <c r="BK13" t="str">
        <f t="shared" si="2"/>
        <v>&lt;method name='Rectangular_Solid'&gt;&lt;parameter name='dFormula'/&gt;&lt;parameter name='dLength'/&gt;&lt;parameter name='dWidth'/&gt;&lt;parameter name='dHeight'/&gt;&lt;/method&gt;</v>
      </c>
    </row>
    <row r="14" spans="1:63">
      <c r="A14">
        <v>13</v>
      </c>
      <c r="B14" t="s">
        <v>105</v>
      </c>
      <c r="C14" s="6" t="s">
        <v>106</v>
      </c>
      <c r="D14" t="s">
        <v>137</v>
      </c>
      <c r="E14">
        <v>3</v>
      </c>
      <c r="F14">
        <v>0</v>
      </c>
      <c r="G14" t="s">
        <v>70</v>
      </c>
      <c r="H14" t="s">
        <v>15</v>
      </c>
      <c r="I14" t="s">
        <v>82</v>
      </c>
      <c r="J14" t="s">
        <v>137</v>
      </c>
      <c r="K14" t="s">
        <v>85</v>
      </c>
      <c r="L14" t="s">
        <v>137</v>
      </c>
      <c r="BI14" t="str">
        <f>"'"&amp;B14&amp;"' =&gt; { DocString =&gt; '"&amp;EscapeQuotes(C14)&amp;"', \n\tRetType =&gt; "&amp;D14&amp;", \n\tTotalParams =&gt; "&amp;E14&amp;", \n\tNumOptionalParams =&gt; "&amp;F14&amp;", \n\tParamList =&gt; ["&amp;ParamList(E14,G14:BH14)&amp;"] },"</f>
        <v>'Rhombus' =&gt; { DocString =&gt; 'The rhombus method provides an area formula.', \n\tRetType =&gt; VT_R8, \n\tTotalParams =&gt; 3, \n\tNumOptionalParams =&gt; 0, \n\tParamList =&gt; [Formula =&gt; VT_BSTR, A =&gt; VT_R8, B =&gt; VT_R8] },</v>
      </c>
      <c r="BJ14" t="str">
        <f t="shared" si="0"/>
        <v>sub Rhombus {\n\tmy ($Formula) = shift;\n\tmy ($A) = shift;\n\tmy ($B) = shift;\n\treturn 1;\n}</v>
      </c>
      <c r="BK14" t="str">
        <f t="shared" si="2"/>
        <v>&lt;method name='Rhombus'&gt;&lt;parameter name='dFormula'/&gt;&lt;parameter name='dA'/&gt;&lt;parameter name='dB'/&gt;&lt;/method&gt;</v>
      </c>
    </row>
    <row r="15" spans="1:63">
      <c r="A15">
        <v>14</v>
      </c>
      <c r="B15" t="s">
        <v>107</v>
      </c>
      <c r="C15" s="6" t="s">
        <v>108</v>
      </c>
      <c r="D15" t="s">
        <v>137</v>
      </c>
      <c r="E15">
        <v>3</v>
      </c>
      <c r="F15">
        <v>0</v>
      </c>
      <c r="G15" t="s">
        <v>70</v>
      </c>
      <c r="H15" t="s">
        <v>15</v>
      </c>
      <c r="I15" t="s">
        <v>79</v>
      </c>
      <c r="J15" t="s">
        <v>137</v>
      </c>
      <c r="K15" t="s">
        <v>75</v>
      </c>
      <c r="L15" t="s">
        <v>137</v>
      </c>
      <c r="BI15" t="str">
        <f>"'"&amp;B15&amp;"' =&gt; { DocString =&gt; '"&amp;EscapeQuotes(C15)&amp;"', \n\tRetType =&gt; "&amp;D15&amp;", \n\tTotalParams =&gt; "&amp;E15&amp;", \n\tNumOptionalParams =&gt; "&amp;F15&amp;", \n\tParamList =&gt; ["&amp;ParamList(E15,G15:BH15)&amp;"] },"</f>
        <v>'Right_Circular_Cone' =&gt; { DocString =&gt; 'The right_circular_cone method provides a lateral surface area formula.', \n\tRetType =&gt; VT_R8, \n\tTotalParams =&gt; 3, \n\tNumOptionalParams =&gt; 0, \n\tParamList =&gt; [Formula =&gt; VT_BSTR, Height =&gt; VT_R8, Radius =&gt; VT_R8] },</v>
      </c>
      <c r="BJ15" t="str">
        <f t="shared" si="0"/>
        <v>sub Right_Circular_Cone {\n\tmy ($Formula) = shift;\n\tmy ($Height) = shift;\n\tmy ($Radius) = shift;\n\treturn 1;\n}</v>
      </c>
      <c r="BK15" t="str">
        <f t="shared" si="2"/>
        <v>&lt;method name='Right_Circular_Cone'&gt;&lt;parameter name='dFormula'/&gt;&lt;parameter name='dHeight'/&gt;&lt;parameter name='dRadius'/&gt;&lt;/method&gt;</v>
      </c>
    </row>
    <row r="16" spans="1:63">
      <c r="A16">
        <v>15</v>
      </c>
      <c r="B16" t="s">
        <v>109</v>
      </c>
      <c r="C16" s="6" t="s">
        <v>110</v>
      </c>
      <c r="D16" t="s">
        <v>137</v>
      </c>
      <c r="E16">
        <v>3</v>
      </c>
      <c r="F16">
        <v>0</v>
      </c>
      <c r="G16" t="s">
        <v>70</v>
      </c>
      <c r="H16" t="s">
        <v>15</v>
      </c>
      <c r="I16" t="s">
        <v>79</v>
      </c>
      <c r="J16" t="s">
        <v>137</v>
      </c>
      <c r="K16" t="s">
        <v>75</v>
      </c>
      <c r="L16" t="s">
        <v>137</v>
      </c>
      <c r="BI16" t="str">
        <f>"'"&amp;B16&amp;"' =&gt; { DocString =&gt; '"&amp;EscapeQuotes(C16)&amp;"', \n\tRetType =&gt; "&amp;D16&amp;", \n\tTotalParams =&gt; "&amp;E16&amp;", \n\tNumOptionalParams =&gt; "&amp;F16&amp;", \n\tParamList =&gt; ["&amp;ParamList(E16,G16:BH16)&amp;"] },"</f>
        <v>'Right_Circular_Cylinder' =&gt; { DocString =&gt; 'The right_circular_cylinder method provides a side surface area, total surface area, and volume formula.', \n\tRetType =&gt; VT_R8, \n\tTotalParams =&gt; 3, \n\tNumOptionalParams =&gt; 0, \n\tParamList =&gt; [Formula =&gt; VT_BSTR, Height =&gt; VT_R8, Radius =&gt; VT_R8] },</v>
      </c>
      <c r="BJ16" t="str">
        <f t="shared" si="0"/>
        <v>sub Right_Circular_Cylinder {\n\tmy ($Formula) = shift;\n\tmy ($Height) = shift;\n\tmy ($Radius) = shift;\n\treturn 1;\n}</v>
      </c>
      <c r="BK16" t="str">
        <f t="shared" si="2"/>
        <v>&lt;method name='Right_Circular_Cylinder'&gt;&lt;parameter name='dFormula'/&gt;&lt;parameter name='dHeight'/&gt;&lt;parameter name='dRadius'/&gt;&lt;/method&gt;</v>
      </c>
    </row>
    <row r="17" spans="1:63">
      <c r="A17">
        <v>16</v>
      </c>
      <c r="B17" t="s">
        <v>111</v>
      </c>
      <c r="C17" s="6" t="s">
        <v>138</v>
      </c>
      <c r="D17" t="s">
        <v>137</v>
      </c>
      <c r="E17">
        <v>2</v>
      </c>
      <c r="F17">
        <v>0</v>
      </c>
      <c r="G17" t="s">
        <v>70</v>
      </c>
      <c r="H17" t="s">
        <v>15</v>
      </c>
      <c r="I17" t="s">
        <v>75</v>
      </c>
      <c r="J17" t="s">
        <v>137</v>
      </c>
      <c r="K17" t="s">
        <v>112</v>
      </c>
      <c r="L17" t="s">
        <v>137</v>
      </c>
      <c r="BI17" t="str">
        <f>"'"&amp;B17&amp;"' =&gt; { DocString =&gt; '"&amp;EscapeQuotes(C17)&amp;"', \n\tRetType =&gt; "&amp;D17&amp;", \n\tTotalParams =&gt; "&amp;E17&amp;", \n\tNumOptionalParams =&gt; "&amp;F17&amp;", \n\tParamList =&gt; ["&amp;ParamList(E17,G17:BH17)&amp;"] },"</f>
        <v>'Sector_of_Circle' =&gt; { DocString =&gt; 'The sector_of_circle method provides an area formula. Theta in degrees.', \n\tRetType =&gt; VT_R8, \n\tTotalParams =&gt; 2, \n\tNumOptionalParams =&gt; 0, \n\tParamList =&gt; [Formula =&gt; VT_BSTR, Radius =&gt; VT_R8, Theta =&gt; VT_R8] },</v>
      </c>
      <c r="BJ17" t="str">
        <f t="shared" si="0"/>
        <v>sub Sector_of_Circle {\n\tmy ($Formula) = shift;\n\tmy ($Radius) = shift;\n\tmy ($Theta) = shift;\n\treturn 1;\n}</v>
      </c>
      <c r="BK17" t="str">
        <f t="shared" si="2"/>
        <v>&lt;method name='Sector_of_Circle'&gt;&lt;parameter name='dFormula'/&gt;&lt;parameter name='dRadius'/&gt;&lt;parameter name='dTheta'/&gt;&lt;/method&gt;</v>
      </c>
    </row>
    <row r="18" spans="1:63">
      <c r="A18">
        <v>17</v>
      </c>
      <c r="B18" t="s">
        <v>113</v>
      </c>
      <c r="C18" s="6" t="s">
        <v>114</v>
      </c>
      <c r="D18" t="s">
        <v>137</v>
      </c>
      <c r="E18">
        <v>2</v>
      </c>
      <c r="F18">
        <v>0</v>
      </c>
      <c r="G18" t="s">
        <v>70</v>
      </c>
      <c r="H18" t="s">
        <v>15</v>
      </c>
      <c r="I18" t="s">
        <v>75</v>
      </c>
      <c r="J18" t="s">
        <v>137</v>
      </c>
      <c r="BI18" t="str">
        <f>"'"&amp;B18&amp;"' =&gt; { DocString =&gt; '"&amp;EscapeQuotes(C18)&amp;"', \n\tRetType =&gt; "&amp;D18&amp;", \n\tTotalParams =&gt; "&amp;E18&amp;", \n\tNumOptionalParams =&gt; "&amp;F18&amp;", \n\tParamList =&gt; ["&amp;ParamList(E18,G18:BH18)&amp;"] },"</f>
        <v>'Sphere' =&gt; { DocString =&gt; 'The sphere method provides a surface area and volume formula.', \n\tRetType =&gt; VT_R8, \n\tTotalParams =&gt; 2, \n\tNumOptionalParams =&gt; 0, \n\tParamList =&gt; [Formula =&gt; VT_BSTR, Radius =&gt; VT_R8] },</v>
      </c>
      <c r="BJ18" t="str">
        <f t="shared" si="0"/>
        <v>sub Sphere {\n\tmy ($Formula) = shift;\n\tmy ($Radius) = shift;\n\treturn 1;\n}</v>
      </c>
      <c r="BK18" t="str">
        <f t="shared" si="2"/>
        <v>&lt;method name='Sphere'&gt;&lt;parameter name='dFormula'/&gt;&lt;parameter name='dRadius'/&gt;&lt;/method&gt;</v>
      </c>
    </row>
    <row r="19" spans="1:63">
      <c r="A19">
        <v>18</v>
      </c>
      <c r="B19" t="s">
        <v>115</v>
      </c>
      <c r="C19" s="7" t="s">
        <v>116</v>
      </c>
      <c r="D19" t="s">
        <v>137</v>
      </c>
      <c r="E19">
        <v>2</v>
      </c>
      <c r="F19">
        <v>0</v>
      </c>
      <c r="G19" t="s">
        <v>70</v>
      </c>
      <c r="H19" t="s">
        <v>15</v>
      </c>
      <c r="I19" t="s">
        <v>90</v>
      </c>
      <c r="J19" t="s">
        <v>137</v>
      </c>
      <c r="BI19" t="str">
        <f>"'"&amp;B19&amp;"' =&gt; { DocString =&gt; '"&amp;EscapeQuotes(C19)&amp;"', \n\tRetType =&gt; "&amp;D19&amp;", \n\tTotalParams =&gt; "&amp;E19&amp;", \n\tNumOptionalParams =&gt; "&amp;F19&amp;", \n\tParamList =&gt; ["&amp;ParamList(E19,G19:BH19)&amp;"] },"</f>
        <v>'Square' =&gt; { DocString =&gt; 'The square method provides an area and perimeter formula.', \n\tRetType =&gt; VT_R8, \n\tTotalParams =&gt; 2, \n\tNumOptionalParams =&gt; 0, \n\tParamList =&gt; [Formula =&gt; VT_BSTR, Side =&gt; VT_R8] },</v>
      </c>
      <c r="BJ19" t="str">
        <f t="shared" si="0"/>
        <v>sub Square {\n\tmy ($Formula) = shift;\n\tmy ($Side) = shift;\n\treturn 1;\n}</v>
      </c>
      <c r="BK19" t="str">
        <f t="shared" si="2"/>
        <v>&lt;method name='Square'&gt;&lt;parameter name='dFormula'/&gt;&lt;parameter name='dSide'/&gt;&lt;/method&gt;</v>
      </c>
    </row>
    <row r="20" spans="1:63">
      <c r="A20">
        <v>19</v>
      </c>
      <c r="B20" t="s">
        <v>118</v>
      </c>
      <c r="C20" s="6" t="s">
        <v>117</v>
      </c>
      <c r="D20" t="s">
        <v>137</v>
      </c>
      <c r="E20">
        <v>3</v>
      </c>
      <c r="F20">
        <v>0</v>
      </c>
      <c r="G20" t="s">
        <v>70</v>
      </c>
      <c r="H20" t="s">
        <v>15</v>
      </c>
      <c r="I20" t="s">
        <v>82</v>
      </c>
      <c r="J20" t="s">
        <v>137</v>
      </c>
      <c r="K20" t="s">
        <v>85</v>
      </c>
      <c r="L20" t="s">
        <v>137</v>
      </c>
      <c r="BI20" t="str">
        <f>"'"&amp;B20&amp;"' =&gt; { DocString =&gt; '"&amp;EscapeQuotes(C20)&amp;"', \n\tRetType =&gt; "&amp;D20&amp;", \n\tTotalParams =&gt; "&amp;E20&amp;", \n\tNumOptionalParams =&gt; "&amp;F20&amp;", \n\tParamList =&gt; ["&amp;ParamList(E20,G20:BH20)&amp;"] },"</f>
        <v>'Torus' =&gt; { DocString =&gt; 'The torus method provides a surface area and volume formula.', \n\tRetType =&gt; VT_R8, \n\tTotalParams =&gt; 3, \n\tNumOptionalParams =&gt; 0, \n\tParamList =&gt; [Formula =&gt; VT_BSTR, A =&gt; VT_R8, B =&gt; VT_R8] },</v>
      </c>
      <c r="BJ20" t="str">
        <f t="shared" si="0"/>
        <v>sub Torus {\n\tmy ($Formula) = shift;\n\tmy ($A) = shift;\n\tmy ($B) = shift;\n\treturn 1;\n}</v>
      </c>
      <c r="BK20" t="str">
        <f t="shared" si="2"/>
        <v>&lt;method name='Torus'&gt;&lt;parameter name='dFormula'/&gt;&lt;parameter name='dA'/&gt;&lt;parameter name='dB'/&gt;&lt;/method&gt;</v>
      </c>
    </row>
    <row r="21" spans="1:63">
      <c r="A21">
        <v>20</v>
      </c>
      <c r="B21" t="s">
        <v>119</v>
      </c>
      <c r="C21" s="6" t="s">
        <v>124</v>
      </c>
      <c r="D21" t="s">
        <v>137</v>
      </c>
      <c r="E21">
        <v>5</v>
      </c>
      <c r="F21">
        <v>1</v>
      </c>
      <c r="G21" t="s">
        <v>70</v>
      </c>
      <c r="H21" t="s">
        <v>15</v>
      </c>
      <c r="I21" t="s">
        <v>82</v>
      </c>
      <c r="J21" t="s">
        <v>137</v>
      </c>
      <c r="K21" t="s">
        <v>85</v>
      </c>
      <c r="L21" t="s">
        <v>137</v>
      </c>
      <c r="M21" t="s">
        <v>121</v>
      </c>
      <c r="N21" t="s">
        <v>137</v>
      </c>
      <c r="O21" t="s">
        <v>120</v>
      </c>
      <c r="P21" t="s">
        <v>137</v>
      </c>
      <c r="BI21" t="str">
        <f>"'"&amp;B21&amp;"' =&gt; { DocString =&gt; '"&amp;EscapeQuotes(C21)&amp;"', \n\tRetType =&gt; "&amp;D21&amp;", \n\tTotalParams =&gt; "&amp;E21&amp;", \n\tNumOptionalParams =&gt; "&amp;F21&amp;", \n\tParamList =&gt; ["&amp;ParamList(E21,G21:BH21)&amp;"] },"</f>
        <v>'Trapezoid' =&gt; { DocString =&gt; 'The trapezoid method provides an area and perimeter formula (perimeter uses 5th parameter).', \n\tRetType =&gt; VT_R8, \n\tTotalParams =&gt; 5, \n\tNumOptionalParams =&gt; 1, \n\tParamList =&gt; [Formula =&gt; VT_BSTR, A =&gt; VT_R8, B =&gt; VT_R8, C_Height =&gt; VT_R8, D =&gt; VT_R8] },</v>
      </c>
      <c r="BJ21" t="str">
        <f t="shared" si="0"/>
        <v>sub Trapezoid {\n\tmy ($Formula) = shift;\n\tmy ($A) = shift;\n\tmy ($B) = shift;\n\tmy ($C_Height) = shift;\n\tmy ($D) = shift;\n\treturn 1;\n}</v>
      </c>
      <c r="BK21" t="str">
        <f t="shared" si="2"/>
        <v>&lt;method name='Trapezoid'&gt;&lt;parameter name='dFormula'/&gt;&lt;parameter name='dA'/&gt;&lt;parameter name='dB'/&gt;&lt;parameter name='dC_Height'/&gt;&lt;parameter name='dD'/&gt;&lt;/method&gt;</v>
      </c>
    </row>
    <row r="22" spans="1:63">
      <c r="A22">
        <v>21</v>
      </c>
      <c r="B22" t="s">
        <v>122</v>
      </c>
      <c r="C22" s="6" t="s">
        <v>123</v>
      </c>
      <c r="D22" t="s">
        <v>137</v>
      </c>
      <c r="E22">
        <v>5</v>
      </c>
      <c r="F22">
        <v>1</v>
      </c>
      <c r="G22" t="s">
        <v>70</v>
      </c>
      <c r="H22" t="s">
        <v>15</v>
      </c>
      <c r="I22" t="s">
        <v>125</v>
      </c>
      <c r="J22" t="s">
        <v>137</v>
      </c>
      <c r="K22" t="s">
        <v>126</v>
      </c>
      <c r="L22" t="s">
        <v>137</v>
      </c>
      <c r="M22" t="s">
        <v>88</v>
      </c>
      <c r="N22" t="s">
        <v>137</v>
      </c>
      <c r="BI22" t="str">
        <f>"'"&amp;B22&amp;"' =&gt; { DocString =&gt; '"&amp;EscapeQuotes(C22)&amp;"', \n\tRetType =&gt; "&amp;D22&amp;", \n\tTotalParams =&gt; "&amp;E22&amp;", \n\tNumOptionalParams =&gt; "&amp;F22&amp;", \n\tParamList =&gt; ["&amp;ParamList(E22,G22:BH22)&amp;"] },"</f>
        <v>'Triangle' =&gt; { DocString =&gt; 'The triangle method provides an area and perimeter formula (perimeter uses 4th parameter)', \n\tRetType =&gt; VT_R8, \n\tTotalParams =&gt; 5, \n\tNumOptionalParams =&gt; 1, \n\tParamList =&gt; [Formula =&gt; VT_BSTR, A_Base =&gt; VT_R8, B_Height =&gt; VT_R8, C =&gt; VT_R8] },</v>
      </c>
      <c r="BJ22" t="str">
        <f t="shared" si="0"/>
        <v>sub Triangle {\n\tmy ($Formula) = shift;\n\tmy ($A_Base) = shift;\n\tmy ($B_Height) = shift;\n\tmy ($C) = shift;\n\treturn 1;\n}</v>
      </c>
      <c r="BK22" t="str">
        <f t="shared" si="2"/>
        <v>&lt;method name='Triangle'&gt;&lt;parameter name='dFormula'/&gt;&lt;parameter name='dA_Base'/&gt;&lt;parameter name='dB_Height'/&gt;&lt;parameter name='dC'/&gt;&lt;/method&gt;</v>
      </c>
    </row>
    <row r="23" spans="1:63">
      <c r="A23">
        <v>22</v>
      </c>
      <c r="B23" t="s">
        <v>127</v>
      </c>
      <c r="C23" s="6" t="s">
        <v>130</v>
      </c>
      <c r="D23" t="s">
        <v>137</v>
      </c>
      <c r="E23">
        <v>1</v>
      </c>
      <c r="F23">
        <v>0</v>
      </c>
      <c r="G23" t="s">
        <v>133</v>
      </c>
      <c r="H23" t="s">
        <v>137</v>
      </c>
      <c r="BI23" t="str">
        <f>"'"&amp;B23&amp;"' =&gt; { DocString =&gt; '"&amp;EscapeQuotes(C23)&amp;"', \n\tRetType =&gt; "&amp;D23&amp;", \n\tTotalParams =&gt; "&amp;E23&amp;", \n\tNumOptionalParams =&gt; "&amp;F23&amp;", \n\tParamList =&gt; ["&amp;ParamList(E23,G23:BH23)&amp;"] },"</f>
        <v>'Squared' =&gt; { DocString =&gt; 'numeric values passed to this function get $self-&gt;_squared and returned.', \n\tRetType =&gt; VT_R8, \n\tTotalParams =&gt; 1, \n\tNumOptionalParams =&gt; 0, \n\tParamList =&gt; [Value =&gt; VT_R8] },</v>
      </c>
      <c r="BJ23" t="str">
        <f t="shared" si="0"/>
        <v>sub Squared {\n\tmy ($Value) = shift;\n\treturn 1;\n}</v>
      </c>
      <c r="BK23" t="str">
        <f t="shared" si="2"/>
        <v>&lt;method name='Squared'&gt;&lt;parameter name='dValue'/&gt;&lt;/method&gt;</v>
      </c>
    </row>
    <row r="24" spans="1:63">
      <c r="A24">
        <v>23</v>
      </c>
      <c r="B24" t="s">
        <v>128</v>
      </c>
      <c r="C24" s="6" t="s">
        <v>131</v>
      </c>
      <c r="D24" t="s">
        <v>137</v>
      </c>
      <c r="E24">
        <v>1</v>
      </c>
      <c r="F24">
        <v>0</v>
      </c>
      <c r="G24" t="s">
        <v>133</v>
      </c>
      <c r="H24" t="s">
        <v>137</v>
      </c>
      <c r="BI24" t="str">
        <f>"'"&amp;B24&amp;"' =&gt; { DocString =&gt; '"&amp;EscapeQuotes(C24)&amp;"', \n\tRetType =&gt; "&amp;D24&amp;", \n\tTotalParams =&gt; "&amp;E24&amp;", \n\tNumOptionalParams =&gt; "&amp;F24&amp;", \n\tParamList =&gt; ["&amp;ParamList(E24,G24:BH24)&amp;"] },"</f>
        <v>'Cubed' =&gt; { DocString =&gt; 'numeric values passed to this fucntion get$self-&gt;_cubed and returned', \n\tRetType =&gt; VT_R8, \n\tTotalParams =&gt; 1, \n\tNumOptionalParams =&gt; 0, \n\tParamList =&gt; [Value =&gt; VT_R8] },</v>
      </c>
      <c r="BJ24" t="str">
        <f t="shared" si="0"/>
        <v>sub Cubed {\n\tmy ($Value) = shift;\n\treturn 1;\n}</v>
      </c>
      <c r="BK24" t="str">
        <f t="shared" si="2"/>
        <v>&lt;method name='Cubed'&gt;&lt;parameter name='dValue'/&gt;&lt;/method&gt;</v>
      </c>
    </row>
    <row r="25" spans="1:63">
      <c r="A25">
        <v>24</v>
      </c>
      <c r="B25" t="s">
        <v>129</v>
      </c>
      <c r="C25" s="6" t="s">
        <v>132</v>
      </c>
      <c r="D25" t="s">
        <v>65</v>
      </c>
      <c r="E25">
        <v>2</v>
      </c>
      <c r="F25">
        <v>0</v>
      </c>
      <c r="G25" t="s">
        <v>134</v>
      </c>
      <c r="H25" t="s">
        <v>15</v>
      </c>
      <c r="I25" t="s">
        <v>135</v>
      </c>
      <c r="J25" t="s">
        <v>136</v>
      </c>
      <c r="BI25" t="str">
        <f>"'"&amp;B25&amp;"' =&gt; { DocString =&gt; '"&amp;EscapeQuotes(C25)&amp;"', \n\tRetType =&gt; "&amp;D25&amp;", \n\tTotalParams =&gt; "&amp;E25&amp;", \n\tNumOptionalParams =&gt; "&amp;F25&amp;", \n\tParamList =&gt; ["&amp;ParamList(E25,G25:BH25)&amp;"] },"</f>
        <v>'Param_Check' =&gt; { DocString =&gt; 'this method validates the parameters being passed into our formula methods are properly constructed.', \n\tRetType =&gt; VT_BOOL, \n\tTotalParams =&gt; 2, \n\tNumOptionalParams =&gt; 0, \n\tParamList =&gt; [Function =&gt; VT_BSTR, Params =&gt; VT_VARIANT|VT_ARRAY] },</v>
      </c>
      <c r="BJ25" t="str">
        <f t="shared" si="0"/>
        <v>sub Param_Check {\n\tmy ($Function) = shift;\n\tmy (@Params) = shift;\n\treturn 1;\n}</v>
      </c>
      <c r="BK25" t="str">
        <f t="shared" si="2"/>
        <v>&lt;method name='Param_Check'&gt;&lt;parameter name='dFunction'/&gt;&lt;parameter name='aParams'/&gt;&lt;/method&gt;</v>
      </c>
    </row>
    <row r="26" spans="1:63">
      <c r="C26" s="6"/>
      <c r="H26" s="2"/>
    </row>
    <row r="27" spans="1:63">
      <c r="C27" s="6"/>
      <c r="H27" s="2"/>
    </row>
    <row r="28" spans="1:63">
      <c r="C28" s="6"/>
      <c r="H28" s="2"/>
    </row>
    <row r="29" spans="1:63">
      <c r="C29" s="4"/>
    </row>
    <row r="31" spans="1:63">
      <c r="B31" s="2"/>
    </row>
    <row r="32" spans="1:63">
      <c r="B32" s="2"/>
    </row>
    <row r="33" spans="2:3">
      <c r="B33" s="2"/>
      <c r="C33" s="3"/>
    </row>
    <row r="34" spans="2:3">
      <c r="B34" s="2"/>
    </row>
    <row r="35" spans="2:3">
      <c r="B35" s="2"/>
    </row>
    <row r="36" spans="2:3">
      <c r="B36" s="2"/>
    </row>
    <row r="37" spans="2:3">
      <c r="B37" s="2"/>
    </row>
    <row r="38" spans="2:3">
      <c r="B38" s="2"/>
    </row>
    <row r="39" spans="2:3">
      <c r="B39" s="2"/>
    </row>
    <row r="40" spans="2:3">
      <c r="B40" s="2"/>
    </row>
    <row r="41" spans="2:3">
      <c r="B41" s="2"/>
    </row>
    <row r="42" spans="2:3">
      <c r="B42" s="2"/>
    </row>
    <row r="43" spans="2:3">
      <c r="B43" s="2"/>
    </row>
    <row r="44" spans="2:3">
      <c r="B44" s="2"/>
    </row>
    <row r="45" spans="2:3">
      <c r="B45" s="2"/>
    </row>
    <row r="46" spans="2:3">
      <c r="B46" s="2"/>
    </row>
    <row r="47" spans="2:3">
      <c r="B47" s="2"/>
    </row>
    <row r="48" spans="2:3">
      <c r="B48" s="2"/>
    </row>
    <row r="49" spans="2:2">
      <c r="B49" s="2"/>
    </row>
    <row r="50" spans="2:2">
      <c r="B50" s="2"/>
    </row>
    <row r="51" spans="2:2">
      <c r="B51" s="2"/>
    </row>
    <row r="52" spans="2:2">
      <c r="B52" s="2"/>
    </row>
    <row r="53" spans="2:2">
      <c r="B53" s="2"/>
    </row>
    <row r="54" spans="2:2">
      <c r="B54" s="2"/>
    </row>
    <row r="55" spans="2:2">
      <c r="B55" s="2"/>
    </row>
    <row r="56" spans="2:2">
      <c r="B56" s="2"/>
    </row>
    <row r="57" spans="2:2">
      <c r="B57" s="2"/>
    </row>
    <row r="58" spans="2:2">
      <c r="B58" s="2"/>
    </row>
    <row r="59" spans="2:2">
      <c r="B59" s="2"/>
    </row>
    <row r="60" spans="2:2">
      <c r="B60" s="2"/>
    </row>
    <row r="61" spans="2:2">
      <c r="B61" s="2"/>
    </row>
    <row r="62" spans="2:2">
      <c r="B62" s="2"/>
    </row>
    <row r="63" spans="2:2">
      <c r="B63" s="2"/>
    </row>
    <row r="64" spans="2:2">
      <c r="B64" s="2"/>
    </row>
    <row r="65" spans="2:2">
      <c r="B65" s="2"/>
    </row>
    <row r="66" spans="2:2">
      <c r="B66" s="2"/>
    </row>
    <row r="67" spans="2:2">
      <c r="B67" s="2"/>
    </row>
    <row r="68" spans="2:2">
      <c r="B68" s="2"/>
    </row>
    <row r="69" spans="2:2">
      <c r="B69" s="2"/>
    </row>
    <row r="70" spans="2:2">
      <c r="B70" s="2"/>
    </row>
    <row r="71" spans="2:2">
      <c r="B71" s="2"/>
    </row>
    <row r="72" spans="2:2">
      <c r="B72" s="2"/>
    </row>
    <row r="73" spans="2:2">
      <c r="B73" s="2"/>
    </row>
    <row r="74" spans="2:2">
      <c r="B74" s="2"/>
    </row>
    <row r="75" spans="2:2">
      <c r="B75" s="2"/>
    </row>
    <row r="76" spans="2:2">
      <c r="B76" s="2"/>
    </row>
    <row r="77" spans="2:2">
      <c r="B77" s="2"/>
    </row>
    <row r="78" spans="2:2">
      <c r="B78" s="2"/>
    </row>
    <row r="79" spans="2:2">
      <c r="B79" s="2"/>
    </row>
    <row r="80" spans="2:2">
      <c r="B80" s="2"/>
    </row>
    <row r="81" spans="2:2">
      <c r="B81" s="2"/>
    </row>
    <row r="82" spans="2:2">
      <c r="B82" s="2"/>
    </row>
    <row r="83" spans="2:2">
      <c r="B83" s="2"/>
    </row>
    <row r="84" spans="2:2">
      <c r="B84" s="2"/>
    </row>
    <row r="85" spans="2:2">
      <c r="B85" s="2"/>
    </row>
    <row r="86" spans="2:2">
      <c r="B86" s="2"/>
    </row>
    <row r="87" spans="2:2">
      <c r="B87" s="2"/>
    </row>
    <row r="88" spans="2:2">
      <c r="B88" s="2"/>
    </row>
    <row r="89" spans="2:2">
      <c r="B89" s="2"/>
    </row>
    <row r="90" spans="2:2">
      <c r="B90" s="2"/>
    </row>
    <row r="91" spans="2:2">
      <c r="B91" s="2"/>
    </row>
    <row r="92" spans="2:2">
      <c r="B92" s="2"/>
    </row>
    <row r="93" spans="2:2">
      <c r="B93" s="2"/>
    </row>
  </sheetData>
  <phoneticPr fontId="0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4"/>
  <sheetViews>
    <sheetView workbookViewId="0">
      <selection activeCell="A5" sqref="A5"/>
    </sheetView>
  </sheetViews>
  <sheetFormatPr defaultRowHeight="15"/>
  <sheetData>
    <row r="1" spans="1:1">
      <c r="A1">
        <v>1</v>
      </c>
    </row>
    <row r="2" spans="1:1">
      <c r="A2">
        <v>2</v>
      </c>
    </row>
    <row r="3" spans="1:1">
      <c r="A3">
        <v>34</v>
      </c>
    </row>
    <row r="4" spans="1:1">
      <c r="A4" t="e">
        <f ca="1">foo(A1:A3)</f>
        <v>#NAME?</v>
      </c>
    </row>
  </sheetData>
  <phoneticPr fontId="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honeticPr fontId="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20</vt:i4>
      </vt:variant>
    </vt:vector>
  </HeadingPairs>
  <TitlesOfParts>
    <vt:vector size="23" baseType="lpstr">
      <vt:lpstr>Sheet1</vt:lpstr>
      <vt:lpstr>Sheet2</vt:lpstr>
      <vt:lpstr>Sheet3</vt:lpstr>
      <vt:lpstr>Sheet1!biconnected_graph</vt:lpstr>
      <vt:lpstr>Sheet1!biconnectivity_clear_cache</vt:lpstr>
      <vt:lpstr>Sheet1!complement_graph</vt:lpstr>
      <vt:lpstr>Sheet1!complete_graph</vt:lpstr>
      <vt:lpstr>Sheet1!connectivity_clear_cache</vt:lpstr>
      <vt:lpstr>Sheet1!db</vt:lpstr>
      <vt:lpstr>Sheet1!debug</vt:lpstr>
      <vt:lpstr>Sheet1!error</vt:lpstr>
      <vt:lpstr>Sheet1!host</vt:lpstr>
      <vt:lpstr>Sheet1!method</vt:lpstr>
      <vt:lpstr>Sheet1!new</vt:lpstr>
      <vt:lpstr>Sheet1!pass</vt:lpstr>
      <vt:lpstr>Sheet1!port</vt:lpstr>
      <vt:lpstr>Sheet1!purge_limit</vt:lpstr>
      <vt:lpstr>Sheet1!same_strongly_connected_components</vt:lpstr>
      <vt:lpstr>Sheet1!strong_connectivity_clear_cache</vt:lpstr>
      <vt:lpstr>Sheet1!strongly_connected_component_by_vertex</vt:lpstr>
      <vt:lpstr>Sheet1!transitiveclosure_floyd_warshall</vt:lpstr>
      <vt:lpstr>Sheet1!transpose_graph</vt:lpstr>
      <vt:lpstr>Sheet1!user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Bruce M. Axtens</dc:creator>
  <cp:lastModifiedBy>Bruce M. Axtens</cp:lastModifiedBy>
  <dcterms:created xsi:type="dcterms:W3CDTF">2010-06-16T11:57:51Z</dcterms:created>
  <dcterms:modified xsi:type="dcterms:W3CDTF">2012-12-12T14:25:25Z</dcterms:modified>
</cp:coreProperties>
</file>